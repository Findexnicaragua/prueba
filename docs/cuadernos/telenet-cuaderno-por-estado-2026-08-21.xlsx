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4"/>
  <workbookPr/>
  <mc:AlternateContent xmlns:mc="http://schemas.openxmlformats.org/markup-compatibility/2006">
    <mc:Choice Requires="x15">
      <x15ac:absPath xmlns:x15ac="http://schemas.microsoft.com/office/spreadsheetml/2010/11/ac" url="C:\Users\Ronaldo Moncada\Music\"/>
    </mc:Choice>
  </mc:AlternateContent>
  <xr:revisionPtr revIDLastSave="0" documentId="13_ncr:1_{6E4C3243-8076-46B2-9EB9-F489D82C67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1" r:id="rId1"/>
    <sheet name="Detalle" sheetId="2" r:id="rId2"/>
  </sheets>
  <definedNames>
    <definedName name="_xlnm._FilterDatabase" localSheetId="1" hidden="1">Detalle!$A$4:$M$51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D12" i="1" s="1"/>
  <c r="C6" i="1"/>
  <c r="C12" i="1" s="1"/>
  <c r="E12" i="1" l="1"/>
</calcChain>
</file>

<file path=xl/sharedStrings.xml><?xml version="1.0" encoding="utf-8"?>
<sst xmlns="http://schemas.openxmlformats.org/spreadsheetml/2006/main" count="498" uniqueCount="265">
  <si>
    <t>Clientes con deuda pendiente - agrupado por estado de cliente y de contrato</t>
  </si>
  <si>
    <t>Fuente: base de produccion (vxxzesbmilfolwjhfxgr), tenant Telenet, consulta del 2026-08-11. Solo cuotas pendiente/parcial con saldo mayor a 0.</t>
  </si>
  <si>
    <t>Una fila por CONTRATO: un cliente con dos contratos aparece dos veces.</t>
  </si>
  <si>
    <t>Estado cliente</t>
  </si>
  <si>
    <t>Estado contrato</t>
  </si>
  <si>
    <t>Contratos</t>
  </si>
  <si>
    <t>Cuotas pend.</t>
  </si>
  <si>
    <t>Deuda (C$)</t>
  </si>
  <si>
    <t>Que significa / accion sugerida</t>
  </si>
  <si>
    <t>DESACTIVADO</t>
  </si>
  <si>
    <t>activo</t>
  </si>
  <si>
    <t>INVALIDO. Desactivado deberia ser "saldado", pero debe. Ademas el contrato sigue facturando cada mes. Invisible en las 3 pantallas de cobro.</t>
  </si>
  <si>
    <t>suspendido</t>
  </si>
  <si>
    <t>INVALIDO. El corte por mora se hizo bien (contrato suspendido) pero ADEMAS se desactivo al cliente, y eso le esconde la deuda al cobrador.</t>
  </si>
  <si>
    <t>cancelado</t>
  </si>
  <si>
    <t>INVALIDO. Baja con deuda pendiente sin saldar.</t>
  </si>
  <si>
    <t>ACTIVO</t>
  </si>
  <si>
    <t>completado</t>
  </si>
  <si>
    <t>El estado "completado" se elimina (pasa a cancelado). Hoy no cae en NINGUN filtro de cobro: deuda invisible.</t>
  </si>
  <si>
    <t>OK. Ya se ve hoy en "Ver fuera de ruta". No requiere accion.</t>
  </si>
  <si>
    <t>OK. Servicio suspendido con deuda previa: es el estado correcto.</t>
  </si>
  <si>
    <t>TOTAL a decidir</t>
  </si>
  <si>
    <t>Operacion normal (NO incluida en la hoja Detalle)</t>
  </si>
  <si>
    <t>Cartera normal: cliente activo con contrato activo, se cobra como siempre. Valores fijos tomados de la consulta (no salen de la hoja Detalle).</t>
  </si>
  <si>
    <t>Detalle a decidir - una fila por contrato</t>
  </si>
  <si>
    <t>COMPLETAR solo la columna "Decision" (amarilla), que tiene lista desplegable. El resto es informacion de la base, no editar.</t>
  </si>
  <si>
    <t>Cod. cliente</t>
  </si>
  <si>
    <t>Cliente</t>
  </si>
  <si>
    <t>Comunidad</t>
  </si>
  <si>
    <t>Cod. contrato</t>
  </si>
  <si>
    <t>Plan</t>
  </si>
  <si>
    <t>Ultimo pago</t>
  </si>
  <si>
    <t>Meses sin pagar</t>
  </si>
  <si>
    <t>Vence mas vieja</t>
  </si>
  <si>
    <t>Decision</t>
  </si>
  <si>
    <t>SP0023</t>
  </si>
  <si>
    <t>Brandon Francisco Sambrana Guerrero</t>
  </si>
  <si>
    <t>Santa Pancha</t>
  </si>
  <si>
    <t>488</t>
  </si>
  <si>
    <t>Combo 20M+Catv</t>
  </si>
  <si>
    <t>2026-01-26</t>
  </si>
  <si>
    <t>MV0049</t>
  </si>
  <si>
    <t>Joel Missael Gonzáles Romero</t>
  </si>
  <si>
    <t>MINVHA</t>
  </si>
  <si>
    <t>119</t>
  </si>
  <si>
    <t>2026-02-02</t>
  </si>
  <si>
    <t>SP0027</t>
  </si>
  <si>
    <t>María Soledad Vargas Castro</t>
  </si>
  <si>
    <t>487</t>
  </si>
  <si>
    <t>2026-02-25</t>
  </si>
  <si>
    <t>PM0023</t>
  </si>
  <si>
    <t>Emerson Adiel Ramírez Contrera</t>
  </si>
  <si>
    <t>La Palma</t>
  </si>
  <si>
    <t>0432</t>
  </si>
  <si>
    <t>SP0014</t>
  </si>
  <si>
    <t>Heydi Gabriela Martínez Grio</t>
  </si>
  <si>
    <t>280</t>
  </si>
  <si>
    <t>2026-02-16</t>
  </si>
  <si>
    <t>VQ0039</t>
  </si>
  <si>
    <t>Miryam Del Carmen Romero</t>
  </si>
  <si>
    <t>Villa Quince</t>
  </si>
  <si>
    <t>272</t>
  </si>
  <si>
    <t>Promo 1 Catv Gratis</t>
  </si>
  <si>
    <t>2026-01-03</t>
  </si>
  <si>
    <t>SP0024</t>
  </si>
  <si>
    <t>María Luisa Reyes Ruíz</t>
  </si>
  <si>
    <t>Nuevo Asentamiento</t>
  </si>
  <si>
    <t>00255</t>
  </si>
  <si>
    <t>Catv</t>
  </si>
  <si>
    <t>2026-02-12</t>
  </si>
  <si>
    <t>QH0017</t>
  </si>
  <si>
    <t>Madelyn Roxana Alduvin Castillo</t>
  </si>
  <si>
    <t>Quebrada Honda</t>
  </si>
  <si>
    <t>0656</t>
  </si>
  <si>
    <t>Internet 20MB</t>
  </si>
  <si>
    <t>2026-01-19</t>
  </si>
  <si>
    <t>LS0006</t>
  </si>
  <si>
    <t>María Gertrudis Betancour Rojas</t>
  </si>
  <si>
    <t>Las Sirenas</t>
  </si>
  <si>
    <t>265</t>
  </si>
  <si>
    <t>2026-02-09</t>
  </si>
  <si>
    <t>SP0106</t>
  </si>
  <si>
    <t>Fanny Massiell Medina Toruño 72/100</t>
  </si>
  <si>
    <t>0459</t>
  </si>
  <si>
    <t>Pasate con Nosotros</t>
  </si>
  <si>
    <t>2025-10-11</t>
  </si>
  <si>
    <t>VQ0038</t>
  </si>
  <si>
    <t>Marina Lisseth Benavides Mendoza</t>
  </si>
  <si>
    <t>0354</t>
  </si>
  <si>
    <t>2026-05-08</t>
  </si>
  <si>
    <t>2026-04-29</t>
  </si>
  <si>
    <t>VQ0031</t>
  </si>
  <si>
    <t>Augusto César García Talavera</t>
  </si>
  <si>
    <t>0193</t>
  </si>
  <si>
    <t>2026-03-09</t>
  </si>
  <si>
    <t>2026-05-02</t>
  </si>
  <si>
    <t>0523</t>
  </si>
  <si>
    <t>2026-04-13</t>
  </si>
  <si>
    <t>MV0148</t>
  </si>
  <si>
    <t>Blanca Adriana Pineda Catin</t>
  </si>
  <si>
    <t>817</t>
  </si>
  <si>
    <t>2026-07-23</t>
  </si>
  <si>
    <t>2026-06-15</t>
  </si>
  <si>
    <t>VZ0078</t>
  </si>
  <si>
    <t>Juan Marcio Ramírez García</t>
  </si>
  <si>
    <t>Valle los Zapatas</t>
  </si>
  <si>
    <t>642</t>
  </si>
  <si>
    <t>2026-02-14</t>
  </si>
  <si>
    <t>QH0063</t>
  </si>
  <si>
    <t>Kiara Gisella Valdivia López</t>
  </si>
  <si>
    <t>228</t>
  </si>
  <si>
    <t>2026-07-28</t>
  </si>
  <si>
    <t>VZ0120</t>
  </si>
  <si>
    <t>Gioconda Carolina Carvajal Pastrán</t>
  </si>
  <si>
    <t>0434</t>
  </si>
  <si>
    <t>2026-07-13</t>
  </si>
  <si>
    <t>2026-07-27</t>
  </si>
  <si>
    <t>SG0008</t>
  </si>
  <si>
    <t>Alexander José Medina Sánchez</t>
  </si>
  <si>
    <t>San Gil</t>
  </si>
  <si>
    <t>00002</t>
  </si>
  <si>
    <t>Combo 40M+Catv</t>
  </si>
  <si>
    <t>2026-07-07</t>
  </si>
  <si>
    <t>2026-08-03</t>
  </si>
  <si>
    <t>GG0003</t>
  </si>
  <si>
    <t>Ubelda de los Ángeles Cárdenas Ramírez</t>
  </si>
  <si>
    <t>Mina el Limón</t>
  </si>
  <si>
    <t>324</t>
  </si>
  <si>
    <t>2026-07-30</t>
  </si>
  <si>
    <t>2026-08-05</t>
  </si>
  <si>
    <t>VZ0087</t>
  </si>
  <si>
    <t>Jorge Emilio Niño González</t>
  </si>
  <si>
    <t>766</t>
  </si>
  <si>
    <t>2026-08-13</t>
  </si>
  <si>
    <t>AS0027</t>
  </si>
  <si>
    <t>Félix Pedro Vílchez Martínez</t>
  </si>
  <si>
    <t>0590</t>
  </si>
  <si>
    <t>2026-07-26</t>
  </si>
  <si>
    <t>2026-08-15</t>
  </si>
  <si>
    <t>VZ0006</t>
  </si>
  <si>
    <t>Delia Marina Juárez González</t>
  </si>
  <si>
    <t>702</t>
  </si>
  <si>
    <t>Internet 40MB</t>
  </si>
  <si>
    <t>2026-06-13</t>
  </si>
  <si>
    <t>SG0042</t>
  </si>
  <si>
    <t>Jorge Enrique Bulle Goyri Barraza</t>
  </si>
  <si>
    <t>0612</t>
  </si>
  <si>
    <t>2026-07-02</t>
  </si>
  <si>
    <t>EM0008</t>
  </si>
  <si>
    <t>Karla Patricia Silva Rodriguez</t>
  </si>
  <si>
    <t>San Isidro</t>
  </si>
  <si>
    <t>809</t>
  </si>
  <si>
    <t>2026-06-18</t>
  </si>
  <si>
    <t>2026-07-11</t>
  </si>
  <si>
    <t>MV0058</t>
  </si>
  <si>
    <t>José Luis Ortíz Castillo</t>
  </si>
  <si>
    <t>589</t>
  </si>
  <si>
    <t>FS0008</t>
  </si>
  <si>
    <t>Emiliano Rosalio Aleman Cardoza</t>
  </si>
  <si>
    <t>87</t>
  </si>
  <si>
    <t>Promo 2 Catv</t>
  </si>
  <si>
    <t>2026-06-24</t>
  </si>
  <si>
    <t>NA0053</t>
  </si>
  <si>
    <t>Eloida Dalila Hernández Sánchez</t>
  </si>
  <si>
    <t>0603</t>
  </si>
  <si>
    <t>2026-07-22</t>
  </si>
  <si>
    <t>LQ0044</t>
  </si>
  <si>
    <t>Paula Ramona Centeno Picado</t>
  </si>
  <si>
    <t>Las Quemadas</t>
  </si>
  <si>
    <t>0572</t>
  </si>
  <si>
    <t>2026-06-29</t>
  </si>
  <si>
    <t>QH0074</t>
  </si>
  <si>
    <t>Gladys Victoria Salinas Castillo</t>
  </si>
  <si>
    <t>0374</t>
  </si>
  <si>
    <t>2026-08-20</t>
  </si>
  <si>
    <t>VZ0106</t>
  </si>
  <si>
    <t>Darling de los Ángeles Guerrero Campo</t>
  </si>
  <si>
    <t>378</t>
  </si>
  <si>
    <t>2026-05-21</t>
  </si>
  <si>
    <t>LP0012</t>
  </si>
  <si>
    <t>Ervin Francisco Ayala Caballero</t>
  </si>
  <si>
    <t>Los Patos</t>
  </si>
  <si>
    <t>0296</t>
  </si>
  <si>
    <t>2026-06-09</t>
  </si>
  <si>
    <t>2026-06-30</t>
  </si>
  <si>
    <t>MV0084</t>
  </si>
  <si>
    <t>Jorddy Jerioth Vilchez Pozo</t>
  </si>
  <si>
    <t>0625</t>
  </si>
  <si>
    <t>Combo 80M+Catv</t>
  </si>
  <si>
    <t>2026-07-18</t>
  </si>
  <si>
    <t>2026-08-12</t>
  </si>
  <si>
    <t>LP0003</t>
  </si>
  <si>
    <t>Ervin Francisco Acuña Martínez</t>
  </si>
  <si>
    <t>0260</t>
  </si>
  <si>
    <t>2026-07-24</t>
  </si>
  <si>
    <t>PÑ0064</t>
  </si>
  <si>
    <t>Julia Raquel García Hernández</t>
  </si>
  <si>
    <t>El Piñuelar</t>
  </si>
  <si>
    <t>00377</t>
  </si>
  <si>
    <t>2026-08-04</t>
  </si>
  <si>
    <t>2026-08-22</t>
  </si>
  <si>
    <t>QH0084</t>
  </si>
  <si>
    <t>María Fernanda Chávez Hernández</t>
  </si>
  <si>
    <t>0668</t>
  </si>
  <si>
    <t>2026-08-11</t>
  </si>
  <si>
    <t>LQ0072</t>
  </si>
  <si>
    <t>Ruth Esther Valdizón Flores</t>
  </si>
  <si>
    <t>0686</t>
  </si>
  <si>
    <t>2026-08-14</t>
  </si>
  <si>
    <t>VQ0003</t>
  </si>
  <si>
    <t>Taniuska Liseloth Méndez Cruz</t>
  </si>
  <si>
    <t>0103</t>
  </si>
  <si>
    <t>2026-08-07</t>
  </si>
  <si>
    <t>2026-08-29</t>
  </si>
  <si>
    <t>SP0099</t>
  </si>
  <si>
    <t>Mirian Antonia Moreno Casco</t>
  </si>
  <si>
    <t>0092</t>
  </si>
  <si>
    <t>QH0066</t>
  </si>
  <si>
    <t>Marcela Elizabeth Videa Castillo</t>
  </si>
  <si>
    <t>00561</t>
  </si>
  <si>
    <t>2026-09-07</t>
  </si>
  <si>
    <t>561</t>
  </si>
  <si>
    <t>2026-02-07</t>
  </si>
  <si>
    <t>MV0167</t>
  </si>
  <si>
    <t>Juan José Castro López</t>
  </si>
  <si>
    <t>0488</t>
  </si>
  <si>
    <t>2026-02-27</t>
  </si>
  <si>
    <t>QH0073</t>
  </si>
  <si>
    <t>Yoely Mercedes García Reyes</t>
  </si>
  <si>
    <t>0372</t>
  </si>
  <si>
    <t>2026-02-20</t>
  </si>
  <si>
    <t>00488</t>
  </si>
  <si>
    <t>2026-04-27</t>
  </si>
  <si>
    <t>MV0097</t>
  </si>
  <si>
    <t>José Daniel Martínez Rivera</t>
  </si>
  <si>
    <t>0495</t>
  </si>
  <si>
    <t>2026-02-28</t>
  </si>
  <si>
    <t>VQ0014</t>
  </si>
  <si>
    <t>Angela María Montiel Rivera</t>
  </si>
  <si>
    <t>0157</t>
  </si>
  <si>
    <t>2026-03-28</t>
  </si>
  <si>
    <t>MV0045</t>
  </si>
  <si>
    <t>Cruz del Socorro Lopez Perez</t>
  </si>
  <si>
    <t>115</t>
  </si>
  <si>
    <t>2026-04-08</t>
  </si>
  <si>
    <t>2026-04-24</t>
  </si>
  <si>
    <t>VZ0042</t>
  </si>
  <si>
    <t>Douglas José Navarrete Rodríguez</t>
  </si>
  <si>
    <t>737</t>
  </si>
  <si>
    <t>2026-07-01</t>
  </si>
  <si>
    <t xml:space="preserve">EL CONTRATO CANCELADO ESTABA MAL LA FECHA Y CONTRATO, EL QUE ESTA ACTUAL ES EL CORRESPONDIENTE </t>
  </si>
  <si>
    <t>CONTRATO CANCELADO POR QUE TENIA MALA EL PAQUETE DEL SERVICIO</t>
  </si>
  <si>
    <t>CONTRATO CANCELADO POR FECHA MALA</t>
  </si>
  <si>
    <t>CONTRATO CANCELADO POR PLAN EQUIVOCADO</t>
  </si>
  <si>
    <t>CANCELADO POR ERROR DE CONTRATO</t>
  </si>
  <si>
    <t>CONTRATO CANCELADO POR MALA FECHA</t>
  </si>
  <si>
    <t xml:space="preserve">cliente cortado </t>
  </si>
  <si>
    <t>cliente cortado</t>
  </si>
  <si>
    <t>CONTRATO CANCELADO POR ERROR DE FECHA</t>
  </si>
  <si>
    <t>CONTRATO CANCELADO POR MALO EL PAQUETE</t>
  </si>
  <si>
    <t>CAMBIO DE PLAN</t>
  </si>
  <si>
    <t>CONTRATO CANCELADO POR MALO EL PAQUETE Y EL OTRO SUSPENDIDO</t>
  </si>
  <si>
    <t>CLIENTE CORTADO</t>
  </si>
  <si>
    <t>CANCELADO POR MALA FECHA ESCRITA</t>
  </si>
  <si>
    <t>CLIENTE CAMBIO A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</si>
</sst>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4" fontId="5" fillId="0" borderId="0" xfId="0" applyNumberFormat="1" applyFont="1" applyAlignment="1">
      <alignment vertical="top" wrapText="1"/>
    </xf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0" fillId="0" borderId="1" xfId="0" applyBorder="1"/>
    <xf numFmtId="4" fontId="0" fillId="0" borderId="1" xfId="0" applyNumberFormat="1" applyBorder="1"/>
    <xf numFmtId="0" fontId="0" fillId="3" borderId="1" xfId="0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E14" sqref="E14"/>
    </sheetView>
  </sheetViews>
  <sheetFormatPr baseColWidth="10" defaultColWidth="8.88671875" defaultRowHeight="14.4" x14ac:dyDescent="0.3"/>
  <cols>
    <col min="1" max="1" width="16" customWidth="1"/>
    <col min="2" max="2" width="17" customWidth="1"/>
    <col min="3" max="3" width="11" customWidth="1"/>
    <col min="4" max="4" width="13" customWidth="1"/>
    <col min="5" max="5" width="15" customWidth="1"/>
    <col min="6" max="6" width="95" customWidth="1"/>
  </cols>
  <sheetData>
    <row r="1" spans="1:6" ht="18" x14ac:dyDescent="0.35">
      <c r="A1" s="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5" spans="1:6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ht="28.8" x14ac:dyDescent="0.3">
      <c r="A6" s="3" t="s">
        <v>9</v>
      </c>
      <c r="B6" s="3" t="s">
        <v>10</v>
      </c>
      <c r="C6" s="3">
        <f>COUNTIFS(Detalle!$A$5:$A$51,$A6,Detalle!$F$5:$F$51,$B6)</f>
        <v>0</v>
      </c>
      <c r="D6" s="3">
        <f>SUMIFS(Detalle!$J$5:$J$51,Detalle!$A$5:$A$51,$A6,Detalle!$F$5:$F$51,$B6)</f>
        <v>0</v>
      </c>
      <c r="E6" s="4">
        <f>SUMIFS(Detalle!$L$5:$L$51,Detalle!$A$5:$A$51,$A6,Detalle!$F$5:$F$51,$B6)</f>
        <v>0</v>
      </c>
      <c r="F6" s="5" t="s">
        <v>11</v>
      </c>
    </row>
    <row r="7" spans="1:6" ht="28.8" x14ac:dyDescent="0.3">
      <c r="A7" s="3" t="s">
        <v>9</v>
      </c>
      <c r="B7" s="3" t="s">
        <v>12</v>
      </c>
      <c r="C7" s="3">
        <f>COUNTIFS(Detalle!$A$5:$A$51,$A7,Detalle!$F$5:$F$51,$B7)</f>
        <v>5</v>
      </c>
      <c r="D7" s="3">
        <f>SUMIFS(Detalle!$J$5:$J$51,Detalle!$A$5:$A$51,$A7,Detalle!$F$5:$F$51,$B7)</f>
        <v>24</v>
      </c>
      <c r="E7" s="4">
        <f>SUMIFS(Detalle!$L$5:$L$51,Detalle!$A$5:$A$51,$A7,Detalle!$F$5:$F$51,$B7)</f>
        <v>18651.149999999998</v>
      </c>
      <c r="F7" s="5" t="s">
        <v>13</v>
      </c>
    </row>
    <row r="8" spans="1:6" x14ac:dyDescent="0.3">
      <c r="A8" s="3" t="s">
        <v>9</v>
      </c>
      <c r="B8" s="3" t="s">
        <v>14</v>
      </c>
      <c r="C8" s="3">
        <f>COUNTIFS(Detalle!$A$5:$A$51,$A8,Detalle!$F$5:$F$51,$B8)</f>
        <v>2</v>
      </c>
      <c r="D8" s="3">
        <f>SUMIFS(Detalle!$J$5:$J$51,Detalle!$A$5:$A$51,$A8,Detalle!$F$5:$F$51,$B8)</f>
        <v>15</v>
      </c>
      <c r="E8" s="4">
        <f>SUMIFS(Detalle!$L$5:$L$51,Detalle!$A$5:$A$51,$A8,Detalle!$F$5:$F$51,$B8)</f>
        <v>11816.880000000001</v>
      </c>
      <c r="F8" s="5" t="s">
        <v>15</v>
      </c>
    </row>
    <row r="9" spans="1:6" x14ac:dyDescent="0.3">
      <c r="A9" s="3" t="s">
        <v>16</v>
      </c>
      <c r="B9" s="3" t="s">
        <v>17</v>
      </c>
      <c r="C9" s="3">
        <f>COUNTIFS(Detalle!$A$5:$A$51,$A9,Detalle!$F$5:$F$51,$B9)</f>
        <v>0</v>
      </c>
      <c r="D9" s="3">
        <f>SUMIFS(Detalle!$J$5:$J$51,Detalle!$A$5:$A$51,$A9,Detalle!$F$5:$F$51,$B9)</f>
        <v>0</v>
      </c>
      <c r="E9" s="4">
        <f>SUMIFS(Detalle!$L$5:$L$51,Detalle!$A$5:$A$51,$A9,Detalle!$F$5:$F$51,$B9)</f>
        <v>0</v>
      </c>
      <c r="F9" s="5" t="s">
        <v>18</v>
      </c>
    </row>
    <row r="10" spans="1:6" x14ac:dyDescent="0.3">
      <c r="A10" s="3" t="s">
        <v>16</v>
      </c>
      <c r="B10" s="3" t="s">
        <v>14</v>
      </c>
      <c r="C10" s="3">
        <f>COUNTIFS(Detalle!$A$5:$A$51,$A10,Detalle!$F$5:$F$51,$B10)</f>
        <v>39</v>
      </c>
      <c r="D10" s="3">
        <f>SUMIFS(Detalle!$J$5:$J$51,Detalle!$A$5:$A$51,$A10,Detalle!$F$5:$F$51,$B10)</f>
        <v>156</v>
      </c>
      <c r="E10" s="4">
        <f>SUMIFS(Detalle!$L$5:$L$51,Detalle!$A$5:$A$51,$A10,Detalle!$F$5:$F$51,$B10)</f>
        <v>131445.91999999998</v>
      </c>
      <c r="F10" s="3" t="s">
        <v>19</v>
      </c>
    </row>
    <row r="11" spans="1:6" x14ac:dyDescent="0.3">
      <c r="A11" s="3" t="s">
        <v>16</v>
      </c>
      <c r="B11" s="3" t="s">
        <v>12</v>
      </c>
      <c r="C11" s="3">
        <f>COUNTIFS(Detalle!$A$5:$A$51,$A11,Detalle!$F$5:$F$51,$B11)</f>
        <v>1</v>
      </c>
      <c r="D11" s="3">
        <f>SUMIFS(Detalle!$J$5:$J$51,Detalle!$A$5:$A$51,$A11,Detalle!$F$5:$F$51,$B11)</f>
        <v>6</v>
      </c>
      <c r="E11" s="4">
        <f>SUMIFS(Detalle!$L$5:$L$51,Detalle!$A$5:$A$51,$A11,Detalle!$F$5:$F$51,$B11)</f>
        <v>7392.87</v>
      </c>
      <c r="F11" s="3" t="s">
        <v>20</v>
      </c>
    </row>
    <row r="12" spans="1:6" x14ac:dyDescent="0.3">
      <c r="A12" s="6" t="s">
        <v>21</v>
      </c>
      <c r="B12" s="6"/>
      <c r="C12" s="6">
        <f>SUM(C6:C11)</f>
        <v>47</v>
      </c>
      <c r="D12" s="6">
        <f>SUM(D6:D11)</f>
        <v>201</v>
      </c>
      <c r="E12" s="7">
        <f>SUM(E6:E11)</f>
        <v>169306.81999999998</v>
      </c>
      <c r="F12" s="3"/>
    </row>
    <row r="13" spans="1:6" x14ac:dyDescent="0.3">
      <c r="A13" s="3"/>
      <c r="B13" s="3"/>
      <c r="C13" s="3"/>
      <c r="D13" s="3"/>
      <c r="E13" s="3"/>
      <c r="F13" s="3"/>
    </row>
    <row r="14" spans="1:6" ht="57.6" x14ac:dyDescent="0.3">
      <c r="A14" s="6" t="s">
        <v>22</v>
      </c>
      <c r="B14" s="3"/>
      <c r="C14" s="3"/>
      <c r="D14" s="3"/>
      <c r="E14" s="3"/>
      <c r="F14" s="3"/>
    </row>
    <row r="15" spans="1:6" ht="28.8" x14ac:dyDescent="0.3">
      <c r="A15" s="3" t="s">
        <v>16</v>
      </c>
      <c r="B15" s="3" t="s">
        <v>10</v>
      </c>
      <c r="C15" s="3">
        <v>1011</v>
      </c>
      <c r="D15" s="3">
        <v>4505</v>
      </c>
      <c r="E15" s="4">
        <v>4495505</v>
      </c>
      <c r="F15" s="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abSelected="1" workbookViewId="0">
      <pane ySplit="4" topLeftCell="A32" activePane="bottomLeft" state="frozen"/>
      <selection pane="bottomLeft" activeCell="M51" sqref="M51"/>
    </sheetView>
  </sheetViews>
  <sheetFormatPr baseColWidth="10" defaultColWidth="8.88671875" defaultRowHeight="14.4" x14ac:dyDescent="0.3"/>
  <cols>
    <col min="1" max="1" width="8.109375" customWidth="1"/>
    <col min="2" max="2" width="13" customWidth="1"/>
    <col min="3" max="3" width="25.6640625" customWidth="1"/>
    <col min="4" max="4" width="20" customWidth="1"/>
    <col min="5" max="5" width="9.5546875" customWidth="1"/>
    <col min="6" max="6" width="9.88671875" customWidth="1"/>
    <col min="7" max="7" width="20" customWidth="1"/>
    <col min="8" max="8" width="13" customWidth="1"/>
    <col min="9" max="9" width="6.77734375" customWidth="1"/>
    <col min="10" max="10" width="12" customWidth="1"/>
    <col min="11" max="11" width="15" customWidth="1"/>
    <col min="12" max="12" width="13" customWidth="1"/>
    <col min="13" max="13" width="40" customWidth="1"/>
  </cols>
  <sheetData>
    <row r="1" spans="1:13" ht="17.399999999999999" x14ac:dyDescent="0.35">
      <c r="A1" s="8" t="s">
        <v>24</v>
      </c>
    </row>
    <row r="2" spans="1:13" x14ac:dyDescent="0.3">
      <c r="A2" t="s">
        <v>25</v>
      </c>
    </row>
    <row r="3" spans="1:13" x14ac:dyDescent="0.3">
      <c r="A3" t="s">
        <v>1</v>
      </c>
    </row>
    <row r="4" spans="1:13" ht="28.8" x14ac:dyDescent="0.3">
      <c r="A4" s="9" t="s">
        <v>3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4</v>
      </c>
      <c r="G4" s="9" t="s">
        <v>30</v>
      </c>
      <c r="H4" s="9" t="s">
        <v>31</v>
      </c>
      <c r="I4" s="9" t="s">
        <v>32</v>
      </c>
      <c r="J4" s="9" t="s">
        <v>6</v>
      </c>
      <c r="K4" s="9" t="s">
        <v>33</v>
      </c>
      <c r="L4" s="9" t="s">
        <v>7</v>
      </c>
      <c r="M4" s="9" t="s">
        <v>34</v>
      </c>
    </row>
    <row r="5" spans="1:13" x14ac:dyDescent="0.3">
      <c r="A5" s="10" t="s">
        <v>16</v>
      </c>
      <c r="B5" s="10" t="s">
        <v>35</v>
      </c>
      <c r="C5" s="10" t="s">
        <v>36</v>
      </c>
      <c r="D5" s="10" t="s">
        <v>37</v>
      </c>
      <c r="E5" s="10" t="s">
        <v>38</v>
      </c>
      <c r="F5" s="10" t="s">
        <v>14</v>
      </c>
      <c r="G5" s="10" t="s">
        <v>39</v>
      </c>
      <c r="H5" s="10"/>
      <c r="I5" s="10"/>
      <c r="J5" s="10">
        <v>10</v>
      </c>
      <c r="K5" s="10" t="s">
        <v>40</v>
      </c>
      <c r="L5" s="11">
        <v>12820</v>
      </c>
      <c r="M5" s="12" t="s">
        <v>250</v>
      </c>
    </row>
    <row r="6" spans="1:13" x14ac:dyDescent="0.3">
      <c r="A6" s="10" t="s">
        <v>16</v>
      </c>
      <c r="B6" s="10" t="s">
        <v>41</v>
      </c>
      <c r="C6" s="10" t="s">
        <v>42</v>
      </c>
      <c r="D6" s="10" t="s">
        <v>43</v>
      </c>
      <c r="E6" s="10" t="s">
        <v>44</v>
      </c>
      <c r="F6" s="10" t="s">
        <v>14</v>
      </c>
      <c r="G6" s="10" t="s">
        <v>39</v>
      </c>
      <c r="H6" s="10"/>
      <c r="I6" s="10"/>
      <c r="J6" s="10">
        <v>9</v>
      </c>
      <c r="K6" s="10" t="s">
        <v>45</v>
      </c>
      <c r="L6" s="11">
        <v>11538</v>
      </c>
      <c r="M6" s="12" t="s">
        <v>251</v>
      </c>
    </row>
    <row r="7" spans="1:13" x14ac:dyDescent="0.3">
      <c r="A7" s="10" t="s">
        <v>16</v>
      </c>
      <c r="B7" s="10" t="s">
        <v>46</v>
      </c>
      <c r="C7" s="10" t="s">
        <v>47</v>
      </c>
      <c r="D7" s="10" t="s">
        <v>37</v>
      </c>
      <c r="E7" s="10" t="s">
        <v>48</v>
      </c>
      <c r="F7" s="10" t="s">
        <v>14</v>
      </c>
      <c r="G7" s="10" t="s">
        <v>39</v>
      </c>
      <c r="H7" s="10"/>
      <c r="I7" s="10"/>
      <c r="J7" s="10">
        <v>9</v>
      </c>
      <c r="K7" s="10" t="s">
        <v>49</v>
      </c>
      <c r="L7" s="11">
        <v>11538</v>
      </c>
      <c r="M7" s="12" t="s">
        <v>252</v>
      </c>
    </row>
    <row r="8" spans="1:13" x14ac:dyDescent="0.3">
      <c r="A8" s="10" t="s">
        <v>16</v>
      </c>
      <c r="B8" s="10" t="s">
        <v>50</v>
      </c>
      <c r="C8" s="10" t="s">
        <v>51</v>
      </c>
      <c r="D8" s="10" t="s">
        <v>52</v>
      </c>
      <c r="E8" s="10" t="s">
        <v>53</v>
      </c>
      <c r="F8" s="10" t="s">
        <v>14</v>
      </c>
      <c r="G8" s="10" t="s">
        <v>39</v>
      </c>
      <c r="H8" s="10"/>
      <c r="I8" s="10"/>
      <c r="J8" s="10">
        <v>9</v>
      </c>
      <c r="K8" s="10" t="s">
        <v>49</v>
      </c>
      <c r="L8" s="11">
        <v>11538</v>
      </c>
      <c r="M8" s="12" t="s">
        <v>253</v>
      </c>
    </row>
    <row r="9" spans="1:13" x14ac:dyDescent="0.3">
      <c r="A9" s="10" t="s">
        <v>16</v>
      </c>
      <c r="B9" s="10" t="s">
        <v>54</v>
      </c>
      <c r="C9" s="10" t="s">
        <v>55</v>
      </c>
      <c r="D9" s="10" t="s">
        <v>37</v>
      </c>
      <c r="E9" s="10" t="s">
        <v>56</v>
      </c>
      <c r="F9" s="10" t="s">
        <v>14</v>
      </c>
      <c r="G9" s="10" t="s">
        <v>39</v>
      </c>
      <c r="H9" s="10"/>
      <c r="I9" s="10"/>
      <c r="J9" s="10">
        <v>9</v>
      </c>
      <c r="K9" s="10" t="s">
        <v>57</v>
      </c>
      <c r="L9" s="11">
        <v>11538</v>
      </c>
      <c r="M9" s="12" t="s">
        <v>254</v>
      </c>
    </row>
    <row r="10" spans="1:13" x14ac:dyDescent="0.3">
      <c r="A10" s="10" t="s">
        <v>16</v>
      </c>
      <c r="B10" s="10" t="s">
        <v>58</v>
      </c>
      <c r="C10" s="10" t="s">
        <v>59</v>
      </c>
      <c r="D10" s="10" t="s">
        <v>60</v>
      </c>
      <c r="E10" s="10" t="s">
        <v>61</v>
      </c>
      <c r="F10" s="10" t="s">
        <v>14</v>
      </c>
      <c r="G10" s="10" t="s">
        <v>62</v>
      </c>
      <c r="H10" s="10"/>
      <c r="I10" s="10"/>
      <c r="J10" s="10">
        <v>12</v>
      </c>
      <c r="K10" s="10" t="s">
        <v>63</v>
      </c>
      <c r="L10" s="11">
        <v>10992</v>
      </c>
      <c r="M10" s="12" t="s">
        <v>253</v>
      </c>
    </row>
    <row r="11" spans="1:13" x14ac:dyDescent="0.3">
      <c r="A11" s="10" t="s">
        <v>16</v>
      </c>
      <c r="B11" s="10" t="s">
        <v>64</v>
      </c>
      <c r="C11" s="10" t="s">
        <v>65</v>
      </c>
      <c r="D11" s="10" t="s">
        <v>66</v>
      </c>
      <c r="E11" s="10" t="s">
        <v>67</v>
      </c>
      <c r="F11" s="10" t="s">
        <v>14</v>
      </c>
      <c r="G11" s="10" t="s">
        <v>68</v>
      </c>
      <c r="H11" s="10"/>
      <c r="I11" s="10"/>
      <c r="J11" s="10">
        <v>12</v>
      </c>
      <c r="K11" s="10" t="s">
        <v>69</v>
      </c>
      <c r="L11" s="11">
        <v>6156</v>
      </c>
      <c r="M11" s="12" t="s">
        <v>255</v>
      </c>
    </row>
    <row r="12" spans="1:13" x14ac:dyDescent="0.3">
      <c r="A12" s="10" t="s">
        <v>16</v>
      </c>
      <c r="B12" s="10" t="s">
        <v>70</v>
      </c>
      <c r="C12" s="10" t="s">
        <v>71</v>
      </c>
      <c r="D12" s="10" t="s">
        <v>72</v>
      </c>
      <c r="E12" s="10" t="s">
        <v>73</v>
      </c>
      <c r="F12" s="10" t="s">
        <v>14</v>
      </c>
      <c r="G12" s="10" t="s">
        <v>74</v>
      </c>
      <c r="H12" s="10"/>
      <c r="I12" s="10"/>
      <c r="J12" s="10">
        <v>7</v>
      </c>
      <c r="K12" s="10" t="s">
        <v>75</v>
      </c>
      <c r="L12" s="11">
        <v>6098.79</v>
      </c>
      <c r="M12" s="12" t="s">
        <v>255</v>
      </c>
    </row>
    <row r="13" spans="1:13" x14ac:dyDescent="0.3">
      <c r="A13" s="10" t="s">
        <v>16</v>
      </c>
      <c r="B13" s="10" t="s">
        <v>76</v>
      </c>
      <c r="C13" s="10" t="s">
        <v>77</v>
      </c>
      <c r="D13" s="10" t="s">
        <v>78</v>
      </c>
      <c r="E13" s="10" t="s">
        <v>79</v>
      </c>
      <c r="F13" s="10" t="s">
        <v>14</v>
      </c>
      <c r="G13" s="10" t="s">
        <v>74</v>
      </c>
      <c r="H13" s="10"/>
      <c r="I13" s="10"/>
      <c r="J13" s="10">
        <v>7</v>
      </c>
      <c r="K13" s="10" t="s">
        <v>80</v>
      </c>
      <c r="L13" s="11">
        <v>5555.1</v>
      </c>
      <c r="M13" s="12" t="s">
        <v>255</v>
      </c>
    </row>
    <row r="14" spans="1:13" x14ac:dyDescent="0.3">
      <c r="A14" s="10" t="s">
        <v>16</v>
      </c>
      <c r="B14" s="10" t="s">
        <v>81</v>
      </c>
      <c r="C14" s="10" t="s">
        <v>82</v>
      </c>
      <c r="D14" s="10" t="s">
        <v>37</v>
      </c>
      <c r="E14" s="10" t="s">
        <v>83</v>
      </c>
      <c r="F14" s="10" t="s">
        <v>14</v>
      </c>
      <c r="G14" s="10" t="s">
        <v>84</v>
      </c>
      <c r="H14" s="10"/>
      <c r="I14" s="10"/>
      <c r="J14" s="10">
        <v>10</v>
      </c>
      <c r="K14" s="10" t="s">
        <v>85</v>
      </c>
      <c r="L14" s="11">
        <v>5130</v>
      </c>
      <c r="M14" s="12" t="s">
        <v>255</v>
      </c>
    </row>
    <row r="15" spans="1:13" x14ac:dyDescent="0.3">
      <c r="A15" s="10" t="s">
        <v>16</v>
      </c>
      <c r="B15" s="10" t="s">
        <v>86</v>
      </c>
      <c r="C15" s="10" t="s">
        <v>87</v>
      </c>
      <c r="D15" s="10" t="s">
        <v>60</v>
      </c>
      <c r="E15" s="10" t="s">
        <v>88</v>
      </c>
      <c r="F15" s="10" t="s">
        <v>14</v>
      </c>
      <c r="G15" s="10" t="s">
        <v>62</v>
      </c>
      <c r="H15" s="10" t="s">
        <v>89</v>
      </c>
      <c r="I15" s="10">
        <v>3</v>
      </c>
      <c r="J15" s="10">
        <v>5</v>
      </c>
      <c r="K15" s="10" t="s">
        <v>90</v>
      </c>
      <c r="L15" s="11">
        <v>3989.03</v>
      </c>
      <c r="M15" s="12" t="s">
        <v>256</v>
      </c>
    </row>
    <row r="16" spans="1:13" x14ac:dyDescent="0.3">
      <c r="A16" s="10" t="s">
        <v>16</v>
      </c>
      <c r="B16" s="10" t="s">
        <v>91</v>
      </c>
      <c r="C16" s="10" t="s">
        <v>92</v>
      </c>
      <c r="D16" s="10" t="s">
        <v>60</v>
      </c>
      <c r="E16" s="10" t="s">
        <v>93</v>
      </c>
      <c r="F16" s="10" t="s">
        <v>14</v>
      </c>
      <c r="G16" s="10" t="s">
        <v>62</v>
      </c>
      <c r="H16" s="10" t="s">
        <v>94</v>
      </c>
      <c r="I16" s="10">
        <v>5</v>
      </c>
      <c r="J16" s="10">
        <v>5</v>
      </c>
      <c r="K16" s="10" t="s">
        <v>95</v>
      </c>
      <c r="L16" s="11">
        <v>3870.84</v>
      </c>
      <c r="M16" s="12" t="s">
        <v>257</v>
      </c>
    </row>
    <row r="17" spans="1:13" x14ac:dyDescent="0.3">
      <c r="A17" s="10" t="s">
        <v>16</v>
      </c>
      <c r="B17" s="10" t="s">
        <v>64</v>
      </c>
      <c r="C17" s="10" t="s">
        <v>65</v>
      </c>
      <c r="D17" s="10" t="s">
        <v>66</v>
      </c>
      <c r="E17" s="10" t="s">
        <v>96</v>
      </c>
      <c r="F17" s="10" t="s">
        <v>14</v>
      </c>
      <c r="G17" s="10" t="s">
        <v>68</v>
      </c>
      <c r="H17" s="10"/>
      <c r="I17" s="10"/>
      <c r="J17" s="10">
        <v>7</v>
      </c>
      <c r="K17" s="10" t="s">
        <v>97</v>
      </c>
      <c r="L17" s="11">
        <v>3591</v>
      </c>
      <c r="M17" s="12" t="s">
        <v>258</v>
      </c>
    </row>
    <row r="18" spans="1:13" x14ac:dyDescent="0.3">
      <c r="A18" s="10" t="s">
        <v>16</v>
      </c>
      <c r="B18" s="10" t="s">
        <v>98</v>
      </c>
      <c r="C18" s="10" t="s">
        <v>99</v>
      </c>
      <c r="D18" s="10" t="s">
        <v>43</v>
      </c>
      <c r="E18" s="10" t="s">
        <v>100</v>
      </c>
      <c r="F18" s="10" t="s">
        <v>14</v>
      </c>
      <c r="G18" s="10" t="s">
        <v>39</v>
      </c>
      <c r="H18" s="10" t="s">
        <v>101</v>
      </c>
      <c r="I18" s="10">
        <v>0</v>
      </c>
      <c r="J18" s="10">
        <v>3</v>
      </c>
      <c r="K18" s="10" t="s">
        <v>102</v>
      </c>
      <c r="L18" s="11">
        <v>3473.81</v>
      </c>
      <c r="M18" s="12" t="s">
        <v>259</v>
      </c>
    </row>
    <row r="19" spans="1:13" x14ac:dyDescent="0.3">
      <c r="A19" s="10" t="s">
        <v>16</v>
      </c>
      <c r="B19" s="10" t="s">
        <v>103</v>
      </c>
      <c r="C19" s="10" t="s">
        <v>104</v>
      </c>
      <c r="D19" s="10" t="s">
        <v>105</v>
      </c>
      <c r="E19" s="10" t="s">
        <v>106</v>
      </c>
      <c r="F19" s="10" t="s">
        <v>14</v>
      </c>
      <c r="G19" s="10" t="s">
        <v>68</v>
      </c>
      <c r="H19" s="10"/>
      <c r="I19" s="10"/>
      <c r="J19" s="10">
        <v>6</v>
      </c>
      <c r="K19" s="10" t="s">
        <v>107</v>
      </c>
      <c r="L19" s="11">
        <v>2970.99</v>
      </c>
      <c r="M19" s="12" t="s">
        <v>259</v>
      </c>
    </row>
    <row r="20" spans="1:13" x14ac:dyDescent="0.3">
      <c r="A20" s="10" t="s">
        <v>16</v>
      </c>
      <c r="B20" s="10" t="s">
        <v>108</v>
      </c>
      <c r="C20" s="10" t="s">
        <v>109</v>
      </c>
      <c r="D20" s="10" t="s">
        <v>72</v>
      </c>
      <c r="E20" s="10" t="s">
        <v>110</v>
      </c>
      <c r="F20" s="10" t="s">
        <v>14</v>
      </c>
      <c r="G20" s="10" t="s">
        <v>39</v>
      </c>
      <c r="H20" s="10" t="s">
        <v>111</v>
      </c>
      <c r="I20" s="10">
        <v>0</v>
      </c>
      <c r="J20" s="10">
        <v>2</v>
      </c>
      <c r="K20" s="10" t="s">
        <v>101</v>
      </c>
      <c r="L20" s="11">
        <v>1860.97</v>
      </c>
      <c r="M20" s="12" t="s">
        <v>259</v>
      </c>
    </row>
    <row r="21" spans="1:13" x14ac:dyDescent="0.3">
      <c r="A21" s="10" t="s">
        <v>16</v>
      </c>
      <c r="B21" s="10" t="s">
        <v>112</v>
      </c>
      <c r="C21" s="10" t="s">
        <v>113</v>
      </c>
      <c r="D21" s="10" t="s">
        <v>105</v>
      </c>
      <c r="E21" s="10" t="s">
        <v>114</v>
      </c>
      <c r="F21" s="10" t="s">
        <v>14</v>
      </c>
      <c r="G21" s="10" t="s">
        <v>39</v>
      </c>
      <c r="H21" s="10" t="s">
        <v>115</v>
      </c>
      <c r="I21" s="10">
        <v>1</v>
      </c>
      <c r="J21" s="10">
        <v>2</v>
      </c>
      <c r="K21" s="10" t="s">
        <v>116</v>
      </c>
      <c r="L21" s="11">
        <v>1860.97</v>
      </c>
      <c r="M21" s="12" t="s">
        <v>259</v>
      </c>
    </row>
    <row r="22" spans="1:13" x14ac:dyDescent="0.3">
      <c r="A22" s="10" t="s">
        <v>16</v>
      </c>
      <c r="B22" s="10" t="s">
        <v>117</v>
      </c>
      <c r="C22" s="10" t="s">
        <v>118</v>
      </c>
      <c r="D22" s="10" t="s">
        <v>119</v>
      </c>
      <c r="E22" s="10" t="s">
        <v>120</v>
      </c>
      <c r="F22" s="10" t="s">
        <v>14</v>
      </c>
      <c r="G22" s="10" t="s">
        <v>121</v>
      </c>
      <c r="H22" s="10" t="s">
        <v>122</v>
      </c>
      <c r="I22" s="10">
        <v>1</v>
      </c>
      <c r="J22" s="10">
        <v>2</v>
      </c>
      <c r="K22" s="10" t="s">
        <v>123</v>
      </c>
      <c r="L22" s="11">
        <v>1860.65</v>
      </c>
      <c r="M22" s="12" t="s">
        <v>259</v>
      </c>
    </row>
    <row r="23" spans="1:13" x14ac:dyDescent="0.3">
      <c r="A23" s="10" t="s">
        <v>16</v>
      </c>
      <c r="B23" s="10" t="s">
        <v>124</v>
      </c>
      <c r="C23" s="10" t="s">
        <v>125</v>
      </c>
      <c r="D23" s="10" t="s">
        <v>126</v>
      </c>
      <c r="E23" s="10" t="s">
        <v>127</v>
      </c>
      <c r="F23" s="10" t="s">
        <v>14</v>
      </c>
      <c r="G23" s="10" t="s">
        <v>39</v>
      </c>
      <c r="H23" s="10" t="s">
        <v>128</v>
      </c>
      <c r="I23" s="10">
        <v>0</v>
      </c>
      <c r="J23" s="10">
        <v>2</v>
      </c>
      <c r="K23" s="10" t="s">
        <v>129</v>
      </c>
      <c r="L23" s="11">
        <v>1488.77</v>
      </c>
      <c r="M23" s="12" t="s">
        <v>259</v>
      </c>
    </row>
    <row r="24" spans="1:13" x14ac:dyDescent="0.3">
      <c r="A24" s="10" t="s">
        <v>16</v>
      </c>
      <c r="B24" s="10" t="s">
        <v>130</v>
      </c>
      <c r="C24" s="10" t="s">
        <v>131</v>
      </c>
      <c r="D24" s="10" t="s">
        <v>105</v>
      </c>
      <c r="E24" s="10" t="s">
        <v>132</v>
      </c>
      <c r="F24" s="10" t="s">
        <v>14</v>
      </c>
      <c r="G24" s="10" t="s">
        <v>39</v>
      </c>
      <c r="H24" s="10" t="s">
        <v>102</v>
      </c>
      <c r="I24" s="10">
        <v>1</v>
      </c>
      <c r="J24" s="10">
        <v>1</v>
      </c>
      <c r="K24" s="10" t="s">
        <v>133</v>
      </c>
      <c r="L24" s="11">
        <v>1157.94</v>
      </c>
      <c r="M24" s="12" t="s">
        <v>259</v>
      </c>
    </row>
    <row r="25" spans="1:13" x14ac:dyDescent="0.3">
      <c r="A25" s="10" t="s">
        <v>16</v>
      </c>
      <c r="B25" s="10" t="s">
        <v>134</v>
      </c>
      <c r="C25" s="10" t="s">
        <v>135</v>
      </c>
      <c r="D25" s="10" t="s">
        <v>126</v>
      </c>
      <c r="E25" s="10" t="s">
        <v>136</v>
      </c>
      <c r="F25" s="10" t="s">
        <v>14</v>
      </c>
      <c r="G25" s="10" t="s">
        <v>39</v>
      </c>
      <c r="H25" s="10" t="s">
        <v>137</v>
      </c>
      <c r="I25" s="10">
        <v>0</v>
      </c>
      <c r="J25" s="10">
        <v>1</v>
      </c>
      <c r="K25" s="10" t="s">
        <v>138</v>
      </c>
      <c r="L25" s="11">
        <v>1075.23</v>
      </c>
      <c r="M25" s="12" t="s">
        <v>259</v>
      </c>
    </row>
    <row r="26" spans="1:13" x14ac:dyDescent="0.3">
      <c r="A26" s="10" t="s">
        <v>16</v>
      </c>
      <c r="B26" s="10" t="s">
        <v>139</v>
      </c>
      <c r="C26" s="10" t="s">
        <v>140</v>
      </c>
      <c r="D26" s="10" t="s">
        <v>105</v>
      </c>
      <c r="E26" s="10" t="s">
        <v>141</v>
      </c>
      <c r="F26" s="10" t="s">
        <v>14</v>
      </c>
      <c r="G26" s="10" t="s">
        <v>142</v>
      </c>
      <c r="H26" s="10" t="s">
        <v>143</v>
      </c>
      <c r="I26" s="10">
        <v>2</v>
      </c>
      <c r="J26" s="10">
        <v>1</v>
      </c>
      <c r="K26" s="10" t="s">
        <v>115</v>
      </c>
      <c r="L26" s="11">
        <v>1057.31</v>
      </c>
      <c r="M26" s="12" t="s">
        <v>259</v>
      </c>
    </row>
    <row r="27" spans="1:13" x14ac:dyDescent="0.3">
      <c r="A27" s="10" t="s">
        <v>16</v>
      </c>
      <c r="B27" s="10" t="s">
        <v>144</v>
      </c>
      <c r="C27" s="10" t="s">
        <v>145</v>
      </c>
      <c r="D27" s="10" t="s">
        <v>119</v>
      </c>
      <c r="E27" s="10" t="s">
        <v>146</v>
      </c>
      <c r="F27" s="10" t="s">
        <v>14</v>
      </c>
      <c r="G27" s="10" t="s">
        <v>74</v>
      </c>
      <c r="H27" s="10" t="s">
        <v>147</v>
      </c>
      <c r="I27" s="10">
        <v>1</v>
      </c>
      <c r="J27" s="10">
        <v>2</v>
      </c>
      <c r="K27" s="10" t="s">
        <v>123</v>
      </c>
      <c r="L27" s="11">
        <v>1034.19</v>
      </c>
      <c r="M27" s="12" t="s">
        <v>259</v>
      </c>
    </row>
    <row r="28" spans="1:13" x14ac:dyDescent="0.3">
      <c r="A28" s="10" t="s">
        <v>16</v>
      </c>
      <c r="B28" s="10" t="s">
        <v>148</v>
      </c>
      <c r="C28" s="10" t="s">
        <v>149</v>
      </c>
      <c r="D28" s="10" t="s">
        <v>150</v>
      </c>
      <c r="E28" s="10" t="s">
        <v>151</v>
      </c>
      <c r="F28" s="10" t="s">
        <v>14</v>
      </c>
      <c r="G28" s="10" t="s">
        <v>68</v>
      </c>
      <c r="H28" s="10" t="s">
        <v>152</v>
      </c>
      <c r="I28" s="10">
        <v>1</v>
      </c>
      <c r="J28" s="10">
        <v>2</v>
      </c>
      <c r="K28" s="10" t="s">
        <v>153</v>
      </c>
      <c r="L28" s="11">
        <v>943.26</v>
      </c>
      <c r="M28" s="12" t="s">
        <v>259</v>
      </c>
    </row>
    <row r="29" spans="1:13" x14ac:dyDescent="0.3">
      <c r="A29" s="10" t="s">
        <v>16</v>
      </c>
      <c r="B29" s="10" t="s">
        <v>154</v>
      </c>
      <c r="C29" s="10" t="s">
        <v>155</v>
      </c>
      <c r="D29" s="10" t="s">
        <v>43</v>
      </c>
      <c r="E29" s="10" t="s">
        <v>156</v>
      </c>
      <c r="F29" s="10" t="s">
        <v>14</v>
      </c>
      <c r="G29" s="10" t="s">
        <v>68</v>
      </c>
      <c r="H29" s="10" t="s">
        <v>147</v>
      </c>
      <c r="I29" s="10">
        <v>1</v>
      </c>
      <c r="J29" s="10">
        <v>2</v>
      </c>
      <c r="K29" s="10" t="s">
        <v>153</v>
      </c>
      <c r="L29" s="11">
        <v>860.52</v>
      </c>
      <c r="M29" s="12" t="s">
        <v>259</v>
      </c>
    </row>
    <row r="30" spans="1:13" x14ac:dyDescent="0.3">
      <c r="A30" s="10" t="s">
        <v>16</v>
      </c>
      <c r="B30" s="10" t="s">
        <v>157</v>
      </c>
      <c r="C30" s="10" t="s">
        <v>158</v>
      </c>
      <c r="D30" s="10" t="s">
        <v>126</v>
      </c>
      <c r="E30" s="10" t="s">
        <v>159</v>
      </c>
      <c r="F30" s="10" t="s">
        <v>14</v>
      </c>
      <c r="G30" s="10" t="s">
        <v>160</v>
      </c>
      <c r="H30" s="10" t="s">
        <v>161</v>
      </c>
      <c r="I30" s="10">
        <v>1</v>
      </c>
      <c r="J30" s="10">
        <v>3</v>
      </c>
      <c r="K30" s="10" t="s">
        <v>147</v>
      </c>
      <c r="L30" s="11">
        <v>851.61</v>
      </c>
      <c r="M30" s="12" t="s">
        <v>259</v>
      </c>
    </row>
    <row r="31" spans="1:13" x14ac:dyDescent="0.3">
      <c r="A31" s="10" t="s">
        <v>16</v>
      </c>
      <c r="B31" s="10" t="s">
        <v>162</v>
      </c>
      <c r="C31" s="10" t="s">
        <v>163</v>
      </c>
      <c r="D31" s="10" t="s">
        <v>66</v>
      </c>
      <c r="E31" s="10" t="s">
        <v>164</v>
      </c>
      <c r="F31" s="10" t="s">
        <v>14</v>
      </c>
      <c r="G31" s="10" t="s">
        <v>68</v>
      </c>
      <c r="H31" s="10" t="s">
        <v>165</v>
      </c>
      <c r="I31" s="10">
        <v>0</v>
      </c>
      <c r="J31" s="10">
        <v>2</v>
      </c>
      <c r="K31" s="10" t="s">
        <v>165</v>
      </c>
      <c r="L31" s="11">
        <v>761.23</v>
      </c>
      <c r="M31" s="12" t="s">
        <v>259</v>
      </c>
    </row>
    <row r="32" spans="1:13" x14ac:dyDescent="0.3">
      <c r="A32" s="10" t="s">
        <v>16</v>
      </c>
      <c r="B32" s="10" t="s">
        <v>166</v>
      </c>
      <c r="C32" s="10" t="s">
        <v>167</v>
      </c>
      <c r="D32" s="10" t="s">
        <v>168</v>
      </c>
      <c r="E32" s="10" t="s">
        <v>169</v>
      </c>
      <c r="F32" s="10" t="s">
        <v>14</v>
      </c>
      <c r="G32" s="10" t="s">
        <v>68</v>
      </c>
      <c r="H32" s="10" t="s">
        <v>170</v>
      </c>
      <c r="I32" s="10">
        <v>1</v>
      </c>
      <c r="J32" s="10">
        <v>2</v>
      </c>
      <c r="K32" s="10" t="s">
        <v>111</v>
      </c>
      <c r="L32" s="11">
        <v>728.13</v>
      </c>
      <c r="M32" s="12" t="s">
        <v>259</v>
      </c>
    </row>
    <row r="33" spans="1:13" x14ac:dyDescent="0.3">
      <c r="A33" s="10" t="s">
        <v>16</v>
      </c>
      <c r="B33" s="10" t="s">
        <v>171</v>
      </c>
      <c r="C33" s="10" t="s">
        <v>172</v>
      </c>
      <c r="D33" s="10" t="s">
        <v>72</v>
      </c>
      <c r="E33" s="10" t="s">
        <v>173</v>
      </c>
      <c r="F33" s="10" t="s">
        <v>14</v>
      </c>
      <c r="G33" s="10" t="s">
        <v>39</v>
      </c>
      <c r="H33" s="10" t="s">
        <v>101</v>
      </c>
      <c r="I33" s="10">
        <v>0</v>
      </c>
      <c r="J33" s="10">
        <v>1</v>
      </c>
      <c r="K33" s="10" t="s">
        <v>174</v>
      </c>
      <c r="L33" s="11">
        <v>703.03</v>
      </c>
      <c r="M33" s="12" t="s">
        <v>260</v>
      </c>
    </row>
    <row r="34" spans="1:13" x14ac:dyDescent="0.3">
      <c r="A34" s="10" t="s">
        <v>16</v>
      </c>
      <c r="B34" s="10" t="s">
        <v>175</v>
      </c>
      <c r="C34" s="10" t="s">
        <v>176</v>
      </c>
      <c r="D34" s="10" t="s">
        <v>105</v>
      </c>
      <c r="E34" s="10" t="s">
        <v>177</v>
      </c>
      <c r="F34" s="10" t="s">
        <v>14</v>
      </c>
      <c r="G34" s="10" t="s">
        <v>121</v>
      </c>
      <c r="H34" s="10" t="s">
        <v>178</v>
      </c>
      <c r="I34" s="10">
        <v>2</v>
      </c>
      <c r="J34" s="10">
        <v>1</v>
      </c>
      <c r="K34" s="10" t="s">
        <v>116</v>
      </c>
      <c r="L34" s="11">
        <v>696.41</v>
      </c>
      <c r="M34" s="12" t="s">
        <v>259</v>
      </c>
    </row>
    <row r="35" spans="1:13" x14ac:dyDescent="0.3">
      <c r="A35" s="10" t="s">
        <v>16</v>
      </c>
      <c r="B35" s="10" t="s">
        <v>179</v>
      </c>
      <c r="C35" s="10" t="s">
        <v>180</v>
      </c>
      <c r="D35" s="10" t="s">
        <v>181</v>
      </c>
      <c r="E35" s="10" t="s">
        <v>182</v>
      </c>
      <c r="F35" s="10" t="s">
        <v>14</v>
      </c>
      <c r="G35" s="10" t="s">
        <v>68</v>
      </c>
      <c r="H35" s="10" t="s">
        <v>183</v>
      </c>
      <c r="I35" s="10">
        <v>2</v>
      </c>
      <c r="J35" s="10">
        <v>2</v>
      </c>
      <c r="K35" s="10" t="s">
        <v>184</v>
      </c>
      <c r="L35" s="11">
        <v>661.94</v>
      </c>
      <c r="M35" s="12" t="s">
        <v>259</v>
      </c>
    </row>
    <row r="36" spans="1:13" x14ac:dyDescent="0.3">
      <c r="A36" s="10" t="s">
        <v>16</v>
      </c>
      <c r="B36" s="10" t="s">
        <v>185</v>
      </c>
      <c r="C36" s="10" t="s">
        <v>186</v>
      </c>
      <c r="D36" s="10" t="s">
        <v>43</v>
      </c>
      <c r="E36" s="10" t="s">
        <v>187</v>
      </c>
      <c r="F36" s="10" t="s">
        <v>14</v>
      </c>
      <c r="G36" s="10" t="s">
        <v>188</v>
      </c>
      <c r="H36" s="10" t="s">
        <v>189</v>
      </c>
      <c r="I36" s="10">
        <v>0</v>
      </c>
      <c r="J36" s="10">
        <v>1</v>
      </c>
      <c r="K36" s="10" t="s">
        <v>190</v>
      </c>
      <c r="L36" s="11">
        <v>614.19000000000005</v>
      </c>
      <c r="M36" s="12" t="s">
        <v>259</v>
      </c>
    </row>
    <row r="37" spans="1:13" x14ac:dyDescent="0.3">
      <c r="A37" s="10" t="s">
        <v>16</v>
      </c>
      <c r="B37" s="10" t="s">
        <v>191</v>
      </c>
      <c r="C37" s="10" t="s">
        <v>192</v>
      </c>
      <c r="D37" s="10" t="s">
        <v>181</v>
      </c>
      <c r="E37" s="10" t="s">
        <v>193</v>
      </c>
      <c r="F37" s="10" t="s">
        <v>14</v>
      </c>
      <c r="G37" s="10" t="s">
        <v>74</v>
      </c>
      <c r="H37" s="10" t="s">
        <v>94</v>
      </c>
      <c r="I37" s="10">
        <v>5</v>
      </c>
      <c r="J37" s="10">
        <v>1</v>
      </c>
      <c r="K37" s="10" t="s">
        <v>194</v>
      </c>
      <c r="L37" s="11">
        <v>449.14</v>
      </c>
      <c r="M37" s="12" t="s">
        <v>259</v>
      </c>
    </row>
    <row r="38" spans="1:13" x14ac:dyDescent="0.3">
      <c r="A38" s="10" t="s">
        <v>16</v>
      </c>
      <c r="B38" s="10" t="s">
        <v>195</v>
      </c>
      <c r="C38" s="10" t="s">
        <v>196</v>
      </c>
      <c r="D38" s="10" t="s">
        <v>197</v>
      </c>
      <c r="E38" s="10" t="s">
        <v>198</v>
      </c>
      <c r="F38" s="10" t="s">
        <v>14</v>
      </c>
      <c r="G38" s="10" t="s">
        <v>74</v>
      </c>
      <c r="H38" s="10" t="s">
        <v>199</v>
      </c>
      <c r="I38" s="10">
        <v>0</v>
      </c>
      <c r="J38" s="10">
        <v>1</v>
      </c>
      <c r="K38" s="10" t="s">
        <v>200</v>
      </c>
      <c r="L38" s="11">
        <v>443.23</v>
      </c>
      <c r="M38" s="12" t="s">
        <v>259</v>
      </c>
    </row>
    <row r="39" spans="1:13" x14ac:dyDescent="0.3">
      <c r="A39" s="10" t="s">
        <v>16</v>
      </c>
      <c r="B39" s="10" t="s">
        <v>201</v>
      </c>
      <c r="C39" s="10" t="s">
        <v>202</v>
      </c>
      <c r="D39" s="10" t="s">
        <v>72</v>
      </c>
      <c r="E39" s="10" t="s">
        <v>203</v>
      </c>
      <c r="F39" s="10" t="s">
        <v>14</v>
      </c>
      <c r="G39" s="10" t="s">
        <v>68</v>
      </c>
      <c r="H39" s="10"/>
      <c r="I39" s="10"/>
      <c r="J39" s="10">
        <v>1</v>
      </c>
      <c r="K39" s="10" t="s">
        <v>204</v>
      </c>
      <c r="L39" s="11">
        <v>430.26</v>
      </c>
      <c r="M39" s="12" t="s">
        <v>259</v>
      </c>
    </row>
    <row r="40" spans="1:13" x14ac:dyDescent="0.3">
      <c r="A40" s="10" t="s">
        <v>16</v>
      </c>
      <c r="B40" s="10" t="s">
        <v>205</v>
      </c>
      <c r="C40" s="10" t="s">
        <v>206</v>
      </c>
      <c r="D40" s="10" t="s">
        <v>168</v>
      </c>
      <c r="E40" s="10" t="s">
        <v>207</v>
      </c>
      <c r="F40" s="10" t="s">
        <v>14</v>
      </c>
      <c r="G40" s="10" t="s">
        <v>68</v>
      </c>
      <c r="H40" s="10"/>
      <c r="I40" s="10"/>
      <c r="J40" s="10">
        <v>1</v>
      </c>
      <c r="K40" s="10" t="s">
        <v>208</v>
      </c>
      <c r="L40" s="11">
        <v>380.61</v>
      </c>
      <c r="M40" s="12" t="s">
        <v>261</v>
      </c>
    </row>
    <row r="41" spans="1:13" x14ac:dyDescent="0.3">
      <c r="A41" s="10" t="s">
        <v>16</v>
      </c>
      <c r="B41" s="10" t="s">
        <v>209</v>
      </c>
      <c r="C41" s="10" t="s">
        <v>210</v>
      </c>
      <c r="D41" s="10" t="s">
        <v>60</v>
      </c>
      <c r="E41" s="10" t="s">
        <v>211</v>
      </c>
      <c r="F41" s="10" t="s">
        <v>14</v>
      </c>
      <c r="G41" s="10" t="s">
        <v>62</v>
      </c>
      <c r="H41" s="10" t="s">
        <v>212</v>
      </c>
      <c r="I41" s="10">
        <v>0</v>
      </c>
      <c r="J41" s="10">
        <v>1</v>
      </c>
      <c r="K41" s="10" t="s">
        <v>213</v>
      </c>
      <c r="L41" s="11">
        <v>354.58</v>
      </c>
      <c r="M41" s="12" t="s">
        <v>262</v>
      </c>
    </row>
    <row r="42" spans="1:13" x14ac:dyDescent="0.3">
      <c r="A42" s="10" t="s">
        <v>16</v>
      </c>
      <c r="B42" s="10" t="s">
        <v>214</v>
      </c>
      <c r="C42" s="10" t="s">
        <v>215</v>
      </c>
      <c r="D42" s="10" t="s">
        <v>37</v>
      </c>
      <c r="E42" s="10" t="s">
        <v>216</v>
      </c>
      <c r="F42" s="10" t="s">
        <v>14</v>
      </c>
      <c r="G42" s="10" t="s">
        <v>39</v>
      </c>
      <c r="H42" s="10"/>
      <c r="I42" s="10"/>
      <c r="J42" s="10">
        <v>1</v>
      </c>
      <c r="K42" s="10" t="s">
        <v>129</v>
      </c>
      <c r="L42" s="11">
        <v>248.13</v>
      </c>
      <c r="M42" s="12" t="s">
        <v>263</v>
      </c>
    </row>
    <row r="43" spans="1:13" x14ac:dyDescent="0.3">
      <c r="A43" s="10" t="s">
        <v>16</v>
      </c>
      <c r="B43" s="10" t="s">
        <v>217</v>
      </c>
      <c r="C43" s="10" t="s">
        <v>218</v>
      </c>
      <c r="D43" s="10" t="s">
        <v>72</v>
      </c>
      <c r="E43" s="10" t="s">
        <v>219</v>
      </c>
      <c r="F43" s="10" t="s">
        <v>14</v>
      </c>
      <c r="G43" s="10" t="s">
        <v>142</v>
      </c>
      <c r="H43" s="10" t="s">
        <v>212</v>
      </c>
      <c r="I43" s="10">
        <v>0</v>
      </c>
      <c r="J43" s="10">
        <v>1</v>
      </c>
      <c r="K43" s="10" t="s">
        <v>220</v>
      </c>
      <c r="L43" s="11">
        <v>124.06</v>
      </c>
      <c r="M43" s="12" t="s">
        <v>264</v>
      </c>
    </row>
    <row r="44" spans="1:13" x14ac:dyDescent="0.3">
      <c r="A44" s="10" t="s">
        <v>16</v>
      </c>
      <c r="B44" s="10" t="s">
        <v>217</v>
      </c>
      <c r="C44" s="10" t="s">
        <v>218</v>
      </c>
      <c r="D44" s="10" t="s">
        <v>72</v>
      </c>
      <c r="E44" s="10" t="s">
        <v>221</v>
      </c>
      <c r="F44" s="10" t="s">
        <v>12</v>
      </c>
      <c r="G44" s="10" t="s">
        <v>39</v>
      </c>
      <c r="H44" s="10"/>
      <c r="I44" s="10"/>
      <c r="J44" s="10">
        <v>6</v>
      </c>
      <c r="K44" s="10" t="s">
        <v>222</v>
      </c>
      <c r="L44" s="11">
        <v>7392.87</v>
      </c>
      <c r="M44" s="12" t="s">
        <v>259</v>
      </c>
    </row>
    <row r="45" spans="1:13" x14ac:dyDescent="0.3">
      <c r="A45" s="13" t="s">
        <v>9</v>
      </c>
      <c r="B45" s="10" t="s">
        <v>223</v>
      </c>
      <c r="C45" s="10" t="s">
        <v>224</v>
      </c>
      <c r="D45" s="10" t="s">
        <v>43</v>
      </c>
      <c r="E45" s="10" t="s">
        <v>225</v>
      </c>
      <c r="F45" s="10" t="s">
        <v>14</v>
      </c>
      <c r="G45" s="10" t="s">
        <v>39</v>
      </c>
      <c r="H45" s="10"/>
      <c r="I45" s="10"/>
      <c r="J45" s="10">
        <v>6</v>
      </c>
      <c r="K45" s="10" t="s">
        <v>226</v>
      </c>
      <c r="L45" s="11">
        <v>7199.88</v>
      </c>
      <c r="M45" s="12" t="s">
        <v>262</v>
      </c>
    </row>
    <row r="46" spans="1:13" x14ac:dyDescent="0.3">
      <c r="A46" s="13" t="s">
        <v>9</v>
      </c>
      <c r="B46" s="10" t="s">
        <v>227</v>
      </c>
      <c r="C46" s="10" t="s">
        <v>228</v>
      </c>
      <c r="D46" s="10" t="s">
        <v>72</v>
      </c>
      <c r="E46" s="10" t="s">
        <v>229</v>
      </c>
      <c r="F46" s="10" t="s">
        <v>14</v>
      </c>
      <c r="G46" s="10" t="s">
        <v>68</v>
      </c>
      <c r="H46" s="10"/>
      <c r="I46" s="10"/>
      <c r="J46" s="10">
        <v>9</v>
      </c>
      <c r="K46" s="10" t="s">
        <v>230</v>
      </c>
      <c r="L46" s="11">
        <v>4617</v>
      </c>
      <c r="M46" s="12" t="s">
        <v>262</v>
      </c>
    </row>
    <row r="47" spans="1:13" x14ac:dyDescent="0.3">
      <c r="A47" s="13" t="s">
        <v>9</v>
      </c>
      <c r="B47" s="10" t="s">
        <v>223</v>
      </c>
      <c r="C47" s="10" t="s">
        <v>224</v>
      </c>
      <c r="D47" s="10" t="s">
        <v>43</v>
      </c>
      <c r="E47" s="10" t="s">
        <v>231</v>
      </c>
      <c r="F47" s="10" t="s">
        <v>12</v>
      </c>
      <c r="G47" s="10" t="s">
        <v>74</v>
      </c>
      <c r="H47" s="10"/>
      <c r="I47" s="10"/>
      <c r="J47" s="10">
        <v>7</v>
      </c>
      <c r="K47" s="10" t="s">
        <v>232</v>
      </c>
      <c r="L47" s="11">
        <v>6412</v>
      </c>
      <c r="M47" s="12" t="s">
        <v>262</v>
      </c>
    </row>
    <row r="48" spans="1:13" x14ac:dyDescent="0.3">
      <c r="A48" s="13" t="s">
        <v>9</v>
      </c>
      <c r="B48" s="10" t="s">
        <v>233</v>
      </c>
      <c r="C48" s="10" t="s">
        <v>234</v>
      </c>
      <c r="D48" s="10" t="s">
        <v>43</v>
      </c>
      <c r="E48" s="10" t="s">
        <v>235</v>
      </c>
      <c r="F48" s="10" t="s">
        <v>12</v>
      </c>
      <c r="G48" s="10" t="s">
        <v>74</v>
      </c>
      <c r="H48" s="10"/>
      <c r="I48" s="10"/>
      <c r="J48" s="10">
        <v>6</v>
      </c>
      <c r="K48" s="10" t="s">
        <v>236</v>
      </c>
      <c r="L48" s="11">
        <v>4816.3900000000003</v>
      </c>
      <c r="M48" s="12" t="s">
        <v>262</v>
      </c>
    </row>
    <row r="49" spans="1:13" x14ac:dyDescent="0.3">
      <c r="A49" s="13" t="s">
        <v>9</v>
      </c>
      <c r="B49" s="10" t="s">
        <v>237</v>
      </c>
      <c r="C49" s="10" t="s">
        <v>238</v>
      </c>
      <c r="D49" s="10" t="s">
        <v>60</v>
      </c>
      <c r="E49" s="10" t="s">
        <v>239</v>
      </c>
      <c r="F49" s="10" t="s">
        <v>12</v>
      </c>
      <c r="G49" s="10" t="s">
        <v>62</v>
      </c>
      <c r="H49" s="10" t="s">
        <v>94</v>
      </c>
      <c r="I49" s="10">
        <v>5</v>
      </c>
      <c r="J49" s="10">
        <v>5</v>
      </c>
      <c r="K49" s="10" t="s">
        <v>240</v>
      </c>
      <c r="L49" s="11">
        <v>3961.45</v>
      </c>
      <c r="M49" s="12" t="s">
        <v>262</v>
      </c>
    </row>
    <row r="50" spans="1:13" x14ac:dyDescent="0.3">
      <c r="A50" s="13" t="s">
        <v>9</v>
      </c>
      <c r="B50" s="10" t="s">
        <v>241</v>
      </c>
      <c r="C50" s="10" t="s">
        <v>242</v>
      </c>
      <c r="D50" s="10" t="s">
        <v>43</v>
      </c>
      <c r="E50" s="10" t="s">
        <v>243</v>
      </c>
      <c r="F50" s="10" t="s">
        <v>12</v>
      </c>
      <c r="G50" s="10" t="s">
        <v>68</v>
      </c>
      <c r="H50" s="10" t="s">
        <v>244</v>
      </c>
      <c r="I50" s="10">
        <v>4</v>
      </c>
      <c r="J50" s="10">
        <v>4</v>
      </c>
      <c r="K50" s="10" t="s">
        <v>245</v>
      </c>
      <c r="L50" s="11">
        <v>1889.83</v>
      </c>
      <c r="M50" s="12" t="s">
        <v>262</v>
      </c>
    </row>
    <row r="51" spans="1:13" x14ac:dyDescent="0.3">
      <c r="A51" s="13" t="s">
        <v>9</v>
      </c>
      <c r="B51" s="10" t="s">
        <v>246</v>
      </c>
      <c r="C51" s="10" t="s">
        <v>247</v>
      </c>
      <c r="D51" s="10" t="s">
        <v>105</v>
      </c>
      <c r="E51" s="10" t="s">
        <v>248</v>
      </c>
      <c r="F51" s="10" t="s">
        <v>12</v>
      </c>
      <c r="G51" s="10" t="s">
        <v>39</v>
      </c>
      <c r="H51" s="10" t="s">
        <v>143</v>
      </c>
      <c r="I51" s="10">
        <v>2</v>
      </c>
      <c r="J51" s="10">
        <v>2</v>
      </c>
      <c r="K51" s="10" t="s">
        <v>249</v>
      </c>
      <c r="L51" s="11">
        <v>1571.48</v>
      </c>
      <c r="M51" s="12" t="s">
        <v>262</v>
      </c>
    </row>
  </sheetData>
  <autoFilter ref="A4:M51" xr:uid="{00000000-0009-0000-0000-000001000000}"/>
  <dataValidations count="1">
    <dataValidation type="list" allowBlank="1" sqref="M5:M51" xr:uid="{00000000-0002-0000-0100-000000000000}">
      <formula1>"Reactivar cliente,Dejar desactivado,Cancelar contrato,Revisar caso"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Telenet Mina</cp:lastModifiedBy>
  <dcterms:created xsi:type="dcterms:W3CDTF">2026-08-12T01:23:24Z</dcterms:created>
  <dcterms:modified xsi:type="dcterms:W3CDTF">2026-08-21T02:40:33Z</dcterms:modified>
</cp:coreProperties>
</file>